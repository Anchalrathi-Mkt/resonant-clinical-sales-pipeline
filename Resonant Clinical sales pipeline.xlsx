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https://mailboxgrenobleem-my.sharepoint.com/personal/anchal_rathi_grenoble-em_com/Documents/"/>
    </mc:Choice>
  </mc:AlternateContent>
  <xr:revisionPtr revIDLastSave="0" documentId="8_{6C69663E-8095-8940-93E6-3BA3AFC303F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rospect Pipeline" sheetId="1" r:id="rId1"/>
    <sheet name="Dashboard" sheetId="2" r:id="rId2"/>
    <sheet name="How to U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2" l="1"/>
  <c r="B20" i="2"/>
  <c r="B19" i="2"/>
  <c r="B22" i="2" s="1"/>
  <c r="E6" i="2"/>
  <c r="E4" i="2"/>
</calcChain>
</file>

<file path=xl/sharedStrings.xml><?xml version="1.0" encoding="utf-8"?>
<sst xmlns="http://schemas.openxmlformats.org/spreadsheetml/2006/main" count="515" uniqueCount="262">
  <si>
    <t>Client / Company</t>
  </si>
  <si>
    <t>Industry</t>
  </si>
  <si>
    <t>Country</t>
  </si>
  <si>
    <t>Business Unit / Department</t>
  </si>
  <si>
    <t>Contact Name</t>
  </si>
  <si>
    <t>Job Title</t>
  </si>
  <si>
    <t>Professional Email</t>
  </si>
  <si>
    <t>LinkedIn URL</t>
  </si>
  <si>
    <t>Company Website</t>
  </si>
  <si>
    <t>Potential Pain Point (Hypothesis)</t>
  </si>
  <si>
    <t>Resonant Solution / Use Case</t>
  </si>
  <si>
    <t>Opportunity Type</t>
  </si>
  <si>
    <t>Web Research</t>
  </si>
  <si>
    <t>Lead Status</t>
  </si>
  <si>
    <t>Notes</t>
  </si>
  <si>
    <t>Date Added</t>
  </si>
  <si>
    <t>Follow-up Date</t>
  </si>
  <si>
    <t>Next Action</t>
  </si>
  <si>
    <t>Research Source URL</t>
  </si>
  <si>
    <t>Sanofi</t>
  </si>
  <si>
    <t>Pharmaceuticals</t>
  </si>
  <si>
    <t>France</t>
  </si>
  <si>
    <t>Clinical Operations</t>
  </si>
  <si>
    <t>Clinical Trial Supply Manager</t>
  </si>
  <si>
    <t>https://www.sanofi.com</t>
  </si>
  <si>
    <t>Multi-site trials may require reliable collection kits and supplies</t>
  </si>
  <si>
    <t>Custom clinical trial kits and distribution</t>
  </si>
  <si>
    <t>Clinical trial kitting</t>
  </si>
  <si>
    <t>Review company website, clinical pipeline and decision-makers</t>
  </si>
  <si>
    <t>Not Contacted</t>
  </si>
  <si>
    <t>Potential fit only — validate current projects, procurement scope and existing vendors before outreach</t>
  </si>
  <si>
    <t>Research contact and validate need</t>
  </si>
  <si>
    <t>Ipsen</t>
  </si>
  <si>
    <t>Clinical Development</t>
  </si>
  <si>
    <t>Clinical Operations Manager</t>
  </si>
  <si>
    <t>https://www.ipsen.com</t>
  </si>
  <si>
    <t>Clinical programs may involve complex sample handling</t>
  </si>
  <si>
    <t>Sample management and clinical kitting</t>
  </si>
  <si>
    <t>Kitting + sample logistics</t>
  </si>
  <si>
    <t>Servier</t>
  </si>
  <si>
    <t>Clinical Supply Manager</t>
  </si>
  <si>
    <t>https://servier.com</t>
  </si>
  <si>
    <t>Research programs may require standardised specimen kits</t>
  </si>
  <si>
    <t>Protocol-specific sample collection kits</t>
  </si>
  <si>
    <t>Pierre Fabre</t>
  </si>
  <si>
    <t>Clinical Research</t>
  </si>
  <si>
    <t>Clinical Project Manager</t>
  </si>
  <si>
    <t>https://www.pierre-fabre.com</t>
  </si>
  <si>
    <t>Study sites may require consistent ancillary supplies</t>
  </si>
  <si>
    <t>Equipment and ancillary supplies</t>
  </si>
  <si>
    <t>Trial equipment</t>
  </si>
  <si>
    <t>Valneva</t>
  </si>
  <si>
    <t>Biotechnology / Vaccines</t>
  </si>
  <si>
    <t>https://valneva.com</t>
  </si>
  <si>
    <t>Vaccine studies may involve temperature-sensitive samples</t>
  </si>
  <si>
    <t>Temperature-controlled sample handling</t>
  </si>
  <si>
    <t>Sample logistics</t>
  </si>
  <si>
    <t>Genfit</t>
  </si>
  <si>
    <t>Biotechnology</t>
  </si>
  <si>
    <t>Clinical Trial Manager</t>
  </si>
  <si>
    <t>https://www.genfit.com</t>
  </si>
  <si>
    <t>Study sample storage and traceability may be complex</t>
  </si>
  <si>
    <t>Biorepository and sample management</t>
  </si>
  <si>
    <t>Biorepository</t>
  </si>
  <si>
    <t>Innate Pharma</t>
  </si>
  <si>
    <t>Biotechnology / Oncology</t>
  </si>
  <si>
    <t>Clinical Operations Director</t>
  </si>
  <si>
    <t>https://www.innate-pharma.com</t>
  </si>
  <si>
    <t>Oncology trials may require reliable biological specimen processes</t>
  </si>
  <si>
    <t>Biorepository and clinical trial kits</t>
  </si>
  <si>
    <t>Sample management</t>
  </si>
  <si>
    <t>Nanobiotix</t>
  </si>
  <si>
    <t>Clinical Program Manager</t>
  </si>
  <si>
    <t>https://nanobiotix.com</t>
  </si>
  <si>
    <t>Multisite oncology studies may require consistent collection materials</t>
  </si>
  <si>
    <t>Custom trial kitting</t>
  </si>
  <si>
    <t>OSE Immunotherapeutics</t>
  </si>
  <si>
    <t>Biotechnology / Immunology</t>
  </si>
  <si>
    <t>https://www.ose-immuno.com</t>
  </si>
  <si>
    <t>Clinical studies may need coordinated kits and sample tracking</t>
  </si>
  <si>
    <t>Custom kits and sample logistics</t>
  </si>
  <si>
    <t>Kitting + logistics</t>
  </si>
  <si>
    <t>Inventiva</t>
  </si>
  <si>
    <t>https://inventivapharma.com</t>
  </si>
  <si>
    <t>Clinical studies may need outsourced trial supply support</t>
  </si>
  <si>
    <t>Clinical kitting and ancillary supply services</t>
  </si>
  <si>
    <t>Trial supplies</t>
  </si>
  <si>
    <t>Transgene</t>
  </si>
  <si>
    <t>https://www.transgene.fr</t>
  </si>
  <si>
    <t>Investigational studies may need secure specimen management</t>
  </si>
  <si>
    <t>Biological sample storage and tracking</t>
  </si>
  <si>
    <t>Cellectis</t>
  </si>
  <si>
    <t>Biotechnology / Cell Therapy</t>
  </si>
  <si>
    <t>https://www.cellectis.com</t>
  </si>
  <si>
    <t>Specialised therapies may involve demanding sample processes</t>
  </si>
  <si>
    <t>Specialised sample management assessment</t>
  </si>
  <si>
    <t>DBV Technologies</t>
  </si>
  <si>
    <t>Biotechnology / Allergy</t>
  </si>
  <si>
    <t>https://www.dbv-technologies.com</t>
  </si>
  <si>
    <t>Multi-site studies may require study-specific collection materials</t>
  </si>
  <si>
    <t>Custom clinical trial kits</t>
  </si>
  <si>
    <t>Abivax</t>
  </si>
  <si>
    <t>https://www.abivax.com</t>
  </si>
  <si>
    <t>Trial expansion may require consistent site supply processes</t>
  </si>
  <si>
    <t>Custom kitting and ancillary supplies</t>
  </si>
  <si>
    <t>Medincell</t>
  </si>
  <si>
    <t>Biopharmaceuticals</t>
  </si>
  <si>
    <t>https://www.medincell.com</t>
  </si>
  <si>
    <t>Study coordination may require accurate sample logistics</t>
  </si>
  <si>
    <t>Clinical trial supply and kitting assessment</t>
  </si>
  <si>
    <t>Adocia</t>
  </si>
  <si>
    <t>Biotechnology / Diabetes</t>
  </si>
  <si>
    <t>https://www.adocia.com</t>
  </si>
  <si>
    <t>Early clinical research may need flexible collection kits</t>
  </si>
  <si>
    <t>Custom kits and sample storage</t>
  </si>
  <si>
    <t>Kitting + biorepository</t>
  </si>
  <si>
    <t>Nicox</t>
  </si>
  <si>
    <t>Biopharmaceuticals / Ophthalmology</t>
  </si>
  <si>
    <t>https://www.nicox.com</t>
  </si>
  <si>
    <t>Clinical sites may need ancillary equipment and supplies</t>
  </si>
  <si>
    <t>Ancillary supplies and equipment services</t>
  </si>
  <si>
    <t>UCB</t>
  </si>
  <si>
    <t>Belgium</t>
  </si>
  <si>
    <t>https://www.ucb.com</t>
  </si>
  <si>
    <t>Global studies may need coordinated sample transport and storage</t>
  </si>
  <si>
    <t>Global kits and sample management</t>
  </si>
  <si>
    <t>GSK</t>
  </si>
  <si>
    <t>Pharmaceuticals / Vaccines</t>
  </si>
  <si>
    <t>United Kingdom</t>
  </si>
  <si>
    <t>https://www.gsk.com</t>
  </si>
  <si>
    <t>Large trial networks may need consistent sample kits</t>
  </si>
  <si>
    <t>Custom trial kits and ancillary sourcing</t>
  </si>
  <si>
    <t>AstraZeneca</t>
  </si>
  <si>
    <t>https://www.astrazeneca.com</t>
  </si>
  <si>
    <t>Distributed trials may need sample chain-of-custody support</t>
  </si>
  <si>
    <t>Novartis</t>
  </si>
  <si>
    <t>Switzerland</t>
  </si>
  <si>
    <t>https://www.novartis.com</t>
  </si>
  <si>
    <t>International research may need consistent trial kits</t>
  </si>
  <si>
    <t>Custom kitting and trial support</t>
  </si>
  <si>
    <t>Roche</t>
  </si>
  <si>
    <t>Pharmaceuticals / Diagnostics</t>
  </si>
  <si>
    <t>Clinical Sample Manager</t>
  </si>
  <si>
    <t>https://www.roche.com</t>
  </si>
  <si>
    <t>Research samples may require controlled storage and tracking</t>
  </si>
  <si>
    <t>Biorepository / specimen logistics</t>
  </si>
  <si>
    <t>IQVIA</t>
  </si>
  <si>
    <t>Contract Research Organisation</t>
  </si>
  <si>
    <t>United States</t>
  </si>
  <si>
    <t>Clinical Trial Operations</t>
  </si>
  <si>
    <t>https://www.iqvia.com</t>
  </si>
  <si>
    <t>Client trials may need third-party kit production</t>
  </si>
  <si>
    <t>Custom kitting partner services</t>
  </si>
  <si>
    <t>CRO partnership</t>
  </si>
  <si>
    <t>ICON plc</t>
  </si>
  <si>
    <t>Ireland</t>
  </si>
  <si>
    <t>Clinical Trial Supplies Manager</t>
  </si>
  <si>
    <t>https://www.iconplc.com</t>
  </si>
  <si>
    <t>Multisite client trials may need kit and equipment support</t>
  </si>
  <si>
    <t>Trial kits and ancillary equipment</t>
  </si>
  <si>
    <t>Parexel</t>
  </si>
  <si>
    <t>https://www.parexel.com</t>
  </si>
  <si>
    <t>Clinical studies may need outsourced specimen logistics</t>
  </si>
  <si>
    <t>Sample logistics and biorepository support</t>
  </si>
  <si>
    <t>Fortrea</t>
  </si>
  <si>
    <t>https://www.fortrea.com</t>
  </si>
  <si>
    <t>Sponsor studies may involve complex equipment needs</t>
  </si>
  <si>
    <t>Equipment sourcing and custom trial kits</t>
  </si>
  <si>
    <t>Medpace</t>
  </si>
  <si>
    <t>Clinical Project Director</t>
  </si>
  <si>
    <t>https://www.medpace.com</t>
  </si>
  <si>
    <t>Sponsor studies may need protocol-specific sample kit production</t>
  </si>
  <si>
    <t>Clinical trial kitting and sample support</t>
  </si>
  <si>
    <t>Syneos Health</t>
  </si>
  <si>
    <t>https://www.syneoshealth.com</t>
  </si>
  <si>
    <t>Multisite operations may benefit from centralised supplies</t>
  </si>
  <si>
    <t>Custom kits and ancillary supply logistics</t>
  </si>
  <si>
    <t>Novotech</t>
  </si>
  <si>
    <t>Australia</t>
  </si>
  <si>
    <t>https://novotech-cro.com</t>
  </si>
  <si>
    <t>Multiregional trials may need supplier coordination</t>
  </si>
  <si>
    <t>Global kitting and sample logistics assessment</t>
  </si>
  <si>
    <t>Eurofins Scientific</t>
  </si>
  <si>
    <t>Laboratory / Testing</t>
  </si>
  <si>
    <t>Luxembourg</t>
  </si>
  <si>
    <t>Laboratory Operations</t>
  </si>
  <si>
    <t>Laboratory Operations Manager</t>
  </si>
  <si>
    <t>https://www.eurofins.com</t>
  </si>
  <si>
    <t>Specimen workflows may need external storage or equipment</t>
  </si>
  <si>
    <t>Biorepository and ancillary equipment support</t>
  </si>
  <si>
    <t>Laboratory partnership</t>
  </si>
  <si>
    <t>RESONANT | SALES PROSPECTING DASHBOARD</t>
  </si>
  <si>
    <t>Total Companies</t>
  </si>
  <si>
    <t>Contacted</t>
  </si>
  <si>
    <t>Qualified</t>
  </si>
  <si>
    <t>Meetings</t>
  </si>
  <si>
    <t>Follow-up Due</t>
  </si>
  <si>
    <t>Target company mix</t>
  </si>
  <si>
    <t>Segment</t>
  </si>
  <si>
    <t>Company Count</t>
  </si>
  <si>
    <t>Pharma</t>
  </si>
  <si>
    <t>Biotech</t>
  </si>
  <si>
    <t>CRO</t>
  </si>
  <si>
    <t>Other</t>
  </si>
  <si>
    <t>HOW TO USE THIS PROSPECTING TRACKER</t>
  </si>
  <si>
    <t>PURPOSE: 30 potential prospect organisations for Resonant Clinical Solutions. They are not verified buyers, open opportunities, or existing customers.</t>
  </si>
  <si>
    <t>All suggested pain points and solutions are hypotheses for research, not confirmed client needs.</t>
  </si>
  <si>
    <t>Professional contact names, email addresses and LinkedIn profiles are intentionally blank pending verification.</t>
  </si>
  <si>
    <t>Start by researching current clinical programs and vendor fit; do not assume every large CRO or pharmaceutical company is a suitable client.</t>
  </si>
  <si>
    <t>Update the Lead Status dropdown, Follow-up Date, and Next Action as you work. The dashboard totals update from these fields.</t>
  </si>
  <si>
    <t>Web Research is a research task; Research Source URL is the company website for starting investigation.</t>
  </si>
  <si>
    <t>Suggested outreach must comply with the organisation's privacy and commercial communication requirements.</t>
  </si>
  <si>
    <t>Company headquarters country is used as a prospecting geography and may not indicate which office purchases clinical services.</t>
  </si>
  <si>
    <t>Person to contact:</t>
  </si>
  <si>
    <t>Procurement Manager</t>
  </si>
  <si>
    <t>Director of Clinical Operations</t>
  </si>
  <si>
    <t>marie-helene.munos@sanofi.com</t>
  </si>
  <si>
    <t>https://www.linkedin.com/in/marie-h%C3%A9l%C3%A8ne-munos-58b8487/</t>
  </si>
  <si>
    <t>Marie-Hélène Munos</t>
  </si>
  <si>
    <t>Valerie Henoux</t>
  </si>
  <si>
    <t>valerie.guerin@ipsen.com</t>
  </si>
  <si>
    <t>https://www.linkedin.com/in/val%C3%A9rie-gu%C3%A9rin-h%C3%A9noux-0a69a248/</t>
  </si>
  <si>
    <t>Sandrine Boissier</t>
  </si>
  <si>
    <t>sandrine.boissier@servier.com</t>
  </si>
  <si>
    <t>https://www.linkedin.com/in/sandrine-boissier-784351181/</t>
  </si>
  <si>
    <t>Cindy Jachym</t>
  </si>
  <si>
    <t>cindy.jachym@pierre-fabre.com</t>
  </si>
  <si>
    <t>https://www.linkedin.com/in/cindy-jachym/?locale=en</t>
  </si>
  <si>
    <t>Balazs Balatoni</t>
  </si>
  <si>
    <t>balazs.balatoni@valneva.com</t>
  </si>
  <si>
    <t>https://www.linkedin.com/in/balazs-balatoni-a813b729/</t>
  </si>
  <si>
    <t>Bridget Waluch</t>
  </si>
  <si>
    <t>https://www.linkedin.com/in/bridget-waluch-439782a/</t>
  </si>
  <si>
    <t>A.J. Leyco, RN</t>
  </si>
  <si>
    <t>leyco.unknown@innate-pharma.com</t>
  </si>
  <si>
    <t>https://www.linkedin.com/in/a-j-leyco-rn-a32a4016/</t>
  </si>
  <si>
    <t>Floris Andriessen</t>
  </si>
  <si>
    <t>floris.andriessen@nanobiotix.com</t>
  </si>
  <si>
    <t>https://www.linkedin.com/in/floris-andriessen-31840484/</t>
  </si>
  <si>
    <t>Sylvie Jouve</t>
  </si>
  <si>
    <t>sylvie.jouve@ose-immuno.com</t>
  </si>
  <si>
    <t>https://www.linkedin.com/in/sylvie-jouve-74107618/</t>
  </si>
  <si>
    <t>Alice Muhimpundu</t>
  </si>
  <si>
    <t>amuhimpundu@advancedclinical.com</t>
  </si>
  <si>
    <t>https://www.linkedin.com/in/alice-muhimpundu1982/</t>
  </si>
  <si>
    <t>Sophie Sainte-Croix</t>
  </si>
  <si>
    <t>sainte-croix@transgene.fr</t>
  </si>
  <si>
    <t>https://www.linkedin.com/in/sophie-sainte-croix-b1000348/</t>
  </si>
  <si>
    <t>Camille Poirot</t>
  </si>
  <si>
    <t>https://www.linkedin.com/in/camille-poirot-49546680/</t>
  </si>
  <si>
    <t>+33 6 78 77 27 36</t>
  </si>
  <si>
    <t>Szilvia Fabian</t>
  </si>
  <si>
    <t>https://www.linkedin.com/in/szilvia-fabian-b4b8226b/</t>
  </si>
  <si>
    <t>Anais Vissian</t>
  </si>
  <si>
    <t>anais.vissian@pk-med.com</t>
  </si>
  <si>
    <t>https://www.linkedin.com/in/anaisvissian/</t>
  </si>
  <si>
    <t>Christelle Rassat</t>
  </si>
  <si>
    <t>https://www.linkedin.com/in/christelle-rassat-253080198/</t>
  </si>
  <si>
    <t>Katia HAY</t>
  </si>
  <si>
    <t>https://www.linkedin.com/in/khay37/</t>
  </si>
  <si>
    <t>John E. James</t>
  </si>
  <si>
    <t>https://www.linkedin.com/in/john-e-james-ba915448/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</si>
</sst>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23">
    <font>
      <sz val="11"/>
      <name val="Carlito"/>
    </font>
    <font>
      <b/>
      <sz val="15"/>
      <color rgb="FFFFFFFF"/>
      <name val="Carlito"/>
    </font>
    <font>
      <b/>
      <sz val="11"/>
      <color rgb="FFFFFFFF"/>
      <name val="Aptos"/>
    </font>
    <font>
      <b/>
      <sz val="17"/>
      <color rgb="FFFFFFFF"/>
      <name val="Aptos"/>
    </font>
    <font>
      <b/>
      <sz val="17"/>
      <color rgb="FF243252"/>
      <name val="Aptos"/>
    </font>
    <font>
      <sz val="11"/>
      <color rgb="FF243252"/>
      <name val="Aptos"/>
    </font>
    <font>
      <b/>
      <sz val="11"/>
      <color rgb="FF243252"/>
      <name val="Aptos"/>
    </font>
    <font>
      <b/>
      <sz val="15"/>
      <color rgb="FF243252"/>
      <name val="Aptos"/>
    </font>
    <font>
      <b/>
      <sz val="15"/>
      <color rgb="FFFFFFFF"/>
      <name val="Aptos"/>
    </font>
    <font>
      <sz val="11"/>
      <color rgb="FFFFFFFF"/>
      <name val="Aptos"/>
    </font>
    <font>
      <b/>
      <sz val="14"/>
      <color rgb="FFFFFFFF"/>
      <name val="Aptos"/>
    </font>
    <font>
      <sz val="14"/>
      <name val="Carlito"/>
    </font>
    <font>
      <b/>
      <sz val="14"/>
      <color rgb="FF101A56"/>
      <name val="Aptos"/>
    </font>
    <font>
      <sz val="14"/>
      <color rgb="FF243252"/>
      <name val="Aptos"/>
    </font>
    <font>
      <sz val="11"/>
      <color theme="0"/>
      <name val="Aptos"/>
    </font>
    <font>
      <b/>
      <sz val="12"/>
      <color rgb="FF243252"/>
      <name val="Aptos"/>
    </font>
    <font>
      <sz val="12"/>
      <color rgb="FF243252"/>
      <name val="Aptos"/>
    </font>
    <font>
      <sz val="12"/>
      <name val="Carlito"/>
    </font>
    <font>
      <sz val="14"/>
      <name val="Helvetica Neue"/>
      <family val="2"/>
    </font>
    <font>
      <sz val="14"/>
      <color rgb="FF1C1C18"/>
      <name val="Helvetica"/>
      <family val="2"/>
    </font>
    <font>
      <b/>
      <sz val="14"/>
      <color rgb="FF243252"/>
      <name val="Aptos"/>
    </font>
    <font>
      <u/>
      <sz val="11"/>
      <color theme="10"/>
      <name val="Carlito"/>
    </font>
    <font>
      <b/>
      <u/>
      <sz val="14"/>
      <color theme="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5314B"/>
      </patternFill>
    </fill>
    <fill>
      <patternFill patternType="solid">
        <fgColor rgb="FFFFFFFF"/>
      </patternFill>
    </fill>
    <fill>
      <patternFill patternType="solid">
        <fgColor rgb="FFF8F9FF"/>
      </patternFill>
    </fill>
    <fill>
      <patternFill patternType="solid">
        <fgColor rgb="FF101A56"/>
      </patternFill>
    </fill>
    <fill>
      <patternFill patternType="solid">
        <fgColor rgb="FF5D36B4"/>
      </patternFill>
    </fill>
    <fill>
      <patternFill patternType="solid">
        <fgColor rgb="FFEAF3FF"/>
      </patternFill>
    </fill>
    <fill>
      <patternFill patternType="solid">
        <fgColor rgb="FFEEE8FC"/>
      </patternFill>
    </fill>
    <fill>
      <patternFill patternType="solid">
        <fgColor rgb="FFEDF1FF"/>
      </patternFill>
    </fill>
    <fill>
      <patternFill patternType="solid">
        <fgColor rgb="FF2555C7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46">
    <xf numFmtId="0" fontId="0" fillId="0" borderId="0" xfId="0"/>
    <xf numFmtId="0" fontId="1" fillId="2" borderId="0" xfId="0" applyFont="1" applyFill="1"/>
    <xf numFmtId="0" fontId="5" fillId="3" borderId="0" xfId="0" applyFont="1" applyFill="1"/>
    <xf numFmtId="0" fontId="6" fillId="3" borderId="0" xfId="0" applyFont="1" applyFill="1"/>
    <xf numFmtId="0" fontId="5" fillId="8" borderId="0" xfId="0" applyFont="1" applyFill="1"/>
    <xf numFmtId="0" fontId="8" fillId="10" borderId="0" xfId="0" applyFont="1" applyFill="1"/>
    <xf numFmtId="0" fontId="2" fillId="6" borderId="0" xfId="0" applyFont="1" applyFill="1"/>
    <xf numFmtId="0" fontId="8" fillId="5" borderId="0" xfId="0" applyFont="1" applyFill="1"/>
    <xf numFmtId="0" fontId="9" fillId="5" borderId="0" xfId="0" applyFont="1" applyFill="1"/>
    <xf numFmtId="1" fontId="5" fillId="3" borderId="0" xfId="0" applyNumberFormat="1" applyFont="1" applyFill="1"/>
    <xf numFmtId="1" fontId="8" fillId="10" borderId="0" xfId="0" applyNumberFormat="1" applyFont="1" applyFill="1"/>
    <xf numFmtId="1" fontId="8" fillId="5" borderId="0" xfId="0" applyNumberFormat="1" applyFont="1" applyFill="1"/>
    <xf numFmtId="0" fontId="5" fillId="0" borderId="0" xfId="0" applyFont="1" applyAlignment="1">
      <alignment wrapText="1"/>
    </xf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6" fillId="7" borderId="0" xfId="0" applyFont="1" applyFill="1"/>
    <xf numFmtId="1" fontId="8" fillId="6" borderId="0" xfId="0" applyNumberFormat="1" applyFont="1" applyFill="1"/>
    <xf numFmtId="0" fontId="8" fillId="6" borderId="0" xfId="0" applyFont="1" applyFill="1"/>
    <xf numFmtId="0" fontId="6" fillId="3" borderId="0" xfId="0" applyFont="1" applyFill="1"/>
    <xf numFmtId="1" fontId="7" fillId="3" borderId="0" xfId="0" applyNumberFormat="1" applyFont="1" applyFill="1"/>
    <xf numFmtId="0" fontId="7" fillId="3" borderId="0" xfId="0" applyFont="1" applyFill="1"/>
    <xf numFmtId="0" fontId="10" fillId="5" borderId="0" xfId="0" applyFont="1" applyFill="1" applyAlignment="1">
      <alignment vertical="center" wrapText="1"/>
    </xf>
    <xf numFmtId="0" fontId="10" fillId="6" borderId="0" xfId="0" applyFont="1" applyFill="1" applyAlignment="1">
      <alignment vertical="center" wrapText="1"/>
    </xf>
    <xf numFmtId="0" fontId="11" fillId="0" borderId="0" xfId="0" applyFont="1"/>
    <xf numFmtId="0" fontId="12" fillId="3" borderId="0" xfId="0" applyFont="1" applyFill="1" applyAlignment="1">
      <alignment wrapText="1"/>
    </xf>
    <xf numFmtId="0" fontId="13" fillId="3" borderId="0" xfId="0" applyFont="1" applyFill="1" applyAlignment="1">
      <alignment wrapText="1"/>
    </xf>
    <xf numFmtId="0" fontId="13" fillId="7" borderId="0" xfId="0" applyFont="1" applyFill="1" applyAlignment="1">
      <alignment wrapText="1"/>
    </xf>
    <xf numFmtId="0" fontId="13" fillId="8" borderId="0" xfId="0" applyFont="1" applyFill="1" applyAlignment="1">
      <alignment wrapText="1"/>
    </xf>
    <xf numFmtId="164" fontId="13" fillId="3" borderId="0" xfId="0" applyNumberFormat="1" applyFont="1" applyFill="1" applyAlignment="1">
      <alignment wrapText="1"/>
    </xf>
    <xf numFmtId="0" fontId="13" fillId="9" borderId="0" xfId="0" applyFont="1" applyFill="1" applyAlignment="1">
      <alignment wrapText="1"/>
    </xf>
    <xf numFmtId="0" fontId="12" fillId="4" borderId="0" xfId="0" applyFont="1" applyFill="1" applyAlignment="1">
      <alignment wrapText="1"/>
    </xf>
    <xf numFmtId="0" fontId="13" fillId="4" borderId="0" xfId="0" applyFont="1" applyFill="1" applyAlignment="1">
      <alignment wrapText="1"/>
    </xf>
    <xf numFmtId="164" fontId="13" fillId="4" borderId="0" xfId="0" applyNumberFormat="1" applyFont="1" applyFill="1" applyAlignment="1">
      <alignment wrapText="1"/>
    </xf>
    <xf numFmtId="0" fontId="14" fillId="11" borderId="0" xfId="0" applyFont="1" applyFill="1" applyAlignment="1">
      <alignment wrapText="1"/>
    </xf>
    <xf numFmtId="0" fontId="15" fillId="7" borderId="0" xfId="0" applyFont="1" applyFill="1" applyAlignment="1">
      <alignment wrapText="1"/>
    </xf>
    <xf numFmtId="0" fontId="16" fillId="8" borderId="0" xfId="0" applyFont="1" applyFill="1" applyAlignment="1">
      <alignment wrapText="1"/>
    </xf>
    <xf numFmtId="0" fontId="16" fillId="7" borderId="0" xfId="0" applyFont="1" applyFill="1" applyAlignment="1">
      <alignment wrapText="1"/>
    </xf>
    <xf numFmtId="0" fontId="17" fillId="0" borderId="0" xfId="0" applyFont="1"/>
    <xf numFmtId="0" fontId="18" fillId="0" borderId="0" xfId="0" applyFont="1"/>
    <xf numFmtId="0" fontId="18" fillId="11" borderId="0" xfId="0" applyFont="1" applyFill="1"/>
    <xf numFmtId="0" fontId="19" fillId="0" borderId="0" xfId="0" applyFont="1"/>
    <xf numFmtId="0" fontId="19" fillId="11" borderId="0" xfId="0" applyFont="1" applyFill="1"/>
    <xf numFmtId="0" fontId="20" fillId="4" borderId="0" xfId="0" applyFont="1" applyFill="1" applyAlignment="1">
      <alignment wrapText="1"/>
    </xf>
    <xf numFmtId="0" fontId="20" fillId="3" borderId="0" xfId="0" applyFont="1" applyFill="1" applyAlignment="1">
      <alignment wrapText="1"/>
    </xf>
    <xf numFmtId="0" fontId="22" fillId="11" borderId="0" xfId="1" applyFont="1" applyFill="1"/>
  </cellXfs>
  <cellStyles count="2">
    <cellStyle name="Hyperlink" xfId="1" builtinId="8"/>
    <cellStyle name="Normal" xfId="0" builtinId="0"/>
  </cellStyles>
  <dxfs count="24">
    <dxf>
      <fill>
        <patternFill>
          <bgColor rgb="FFFCE5E5"/>
        </patternFill>
      </fill>
    </dxf>
    <dxf>
      <fill>
        <patternFill>
          <bgColor rgb="FFFFF1D6"/>
        </patternFill>
      </fill>
    </dxf>
    <dxf>
      <fill>
        <patternFill>
          <bgColor rgb="FFDFF4E7"/>
        </patternFill>
      </fill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262613</xdr:rowOff>
    </xdr:from>
    <xdr:to>
      <xdr:col>6</xdr:col>
      <xdr:colOff>279400</xdr:colOff>
      <xdr:row>62</xdr:row>
      <xdr:rowOff>63501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460B3C-34EE-D9AA-D649-9882FE80D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44913"/>
          <a:ext cx="14249400" cy="729388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onantProspects" displayName="ResonantProspects" ref="A1:S31" totalsRowShown="0" headerRowDxfId="4" dataDxfId="3">
  <tableColumns count="19">
    <tableColumn id="1" xr3:uid="{00000000-0010-0000-0000-000001000000}" name="Client / Company" dataDxfId="23"/>
    <tableColumn id="2" xr3:uid="{00000000-0010-0000-0000-000002000000}" name="Industry" dataDxfId="22"/>
    <tableColumn id="3" xr3:uid="{00000000-0010-0000-0000-000003000000}" name="Country" dataDxfId="21"/>
    <tableColumn id="4" xr3:uid="{00000000-0010-0000-0000-000004000000}" name="Business Unit / Department" dataDxfId="20"/>
    <tableColumn id="5" xr3:uid="{00000000-0010-0000-0000-000005000000}" name="Contact Name" dataDxfId="19"/>
    <tableColumn id="6" xr3:uid="{00000000-0010-0000-0000-000006000000}" name="Job Title" dataDxfId="18"/>
    <tableColumn id="7" xr3:uid="{00000000-0010-0000-0000-000007000000}" name="Professional Email" dataDxfId="17"/>
    <tableColumn id="8" xr3:uid="{00000000-0010-0000-0000-000008000000}" name="LinkedIn URL" dataDxfId="16"/>
    <tableColumn id="9" xr3:uid="{00000000-0010-0000-0000-000009000000}" name="Company Website" dataDxfId="15"/>
    <tableColumn id="10" xr3:uid="{00000000-0010-0000-0000-00000A000000}" name="Potential Pain Point (Hypothesis)" dataDxfId="14"/>
    <tableColumn id="11" xr3:uid="{00000000-0010-0000-0000-00000B000000}" name="Resonant Solution / Use Case" dataDxfId="13"/>
    <tableColumn id="12" xr3:uid="{00000000-0010-0000-0000-00000C000000}" name="Opportunity Type" dataDxfId="12"/>
    <tableColumn id="13" xr3:uid="{00000000-0010-0000-0000-00000D000000}" name="Web Research" dataDxfId="11"/>
    <tableColumn id="14" xr3:uid="{00000000-0010-0000-0000-00000E000000}" name="Lead Status" dataDxfId="10"/>
    <tableColumn id="15" xr3:uid="{00000000-0010-0000-0000-00000F000000}" name="Notes" dataDxfId="9"/>
    <tableColumn id="16" xr3:uid="{00000000-0010-0000-0000-000010000000}" name="Date Added" dataDxfId="8"/>
    <tableColumn id="17" xr3:uid="{00000000-0010-0000-0000-000011000000}" name="Follow-up Date" dataDxfId="7"/>
    <tableColumn id="18" xr3:uid="{00000000-0010-0000-0000-000012000000}" name="Next Action" dataDxfId="6"/>
    <tableColumn id="19" xr3:uid="{00000000-0010-0000-0000-000013000000}" name="Research Source URL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H19" sqref="H19"/>
    </sheetView>
  </sheetViews>
  <sheetFormatPr baseColWidth="10" defaultColWidth="8.83203125" defaultRowHeight="18"/>
  <cols>
    <col min="1" max="1" width="22" style="24" customWidth="1"/>
    <col min="2" max="2" width="20" style="24" customWidth="1"/>
    <col min="3" max="3" width="17" style="24" customWidth="1"/>
    <col min="4" max="4" width="26" style="24" customWidth="1"/>
    <col min="5" max="5" width="20" style="24" customWidth="1"/>
    <col min="6" max="7" width="25" style="24" customWidth="1"/>
    <col min="8" max="8" width="28" style="24" customWidth="1"/>
    <col min="9" max="9" width="30" style="24" customWidth="1"/>
    <col min="10" max="10" width="42" style="24" customWidth="1"/>
    <col min="11" max="11" width="40" style="24" customWidth="1"/>
    <col min="12" max="12" width="25" style="24" customWidth="1"/>
    <col min="13" max="13" width="32" style="24" customWidth="1"/>
    <col min="14" max="14" width="21" style="24" customWidth="1"/>
    <col min="15" max="15" width="32" style="24" customWidth="1"/>
    <col min="16" max="17" width="18" style="24" customWidth="1"/>
    <col min="18" max="18" width="28" style="24" customWidth="1"/>
    <col min="19" max="19" width="35" style="24" customWidth="1"/>
    <col min="20" max="16384" width="8.83203125" style="24"/>
  </cols>
  <sheetData>
    <row r="1" spans="1:19" ht="47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</row>
    <row r="2" spans="1:19" ht="37" customHeight="1">
      <c r="A2" s="25" t="s">
        <v>19</v>
      </c>
      <c r="B2" s="26" t="s">
        <v>20</v>
      </c>
      <c r="C2" s="26" t="s">
        <v>21</v>
      </c>
      <c r="D2" s="26" t="s">
        <v>22</v>
      </c>
      <c r="E2" s="40" t="s">
        <v>218</v>
      </c>
      <c r="F2" s="26" t="s">
        <v>23</v>
      </c>
      <c r="G2" s="26" t="s">
        <v>216</v>
      </c>
      <c r="H2" s="26" t="s">
        <v>217</v>
      </c>
      <c r="I2" s="26" t="s">
        <v>24</v>
      </c>
      <c r="J2" s="26" t="s">
        <v>25</v>
      </c>
      <c r="K2" s="27" t="s">
        <v>26</v>
      </c>
      <c r="L2" s="27" t="s">
        <v>27</v>
      </c>
      <c r="M2" s="26" t="s">
        <v>28</v>
      </c>
      <c r="N2" s="28" t="s">
        <v>29</v>
      </c>
      <c r="O2" s="26" t="s">
        <v>30</v>
      </c>
      <c r="P2" s="29">
        <v>46323</v>
      </c>
      <c r="Q2" s="29"/>
      <c r="R2" s="30" t="s">
        <v>31</v>
      </c>
      <c r="S2" s="30" t="s">
        <v>24</v>
      </c>
    </row>
    <row r="3" spans="1:19" ht="37" customHeight="1">
      <c r="A3" s="31" t="s">
        <v>32</v>
      </c>
      <c r="B3" s="32" t="s">
        <v>20</v>
      </c>
      <c r="C3" s="32" t="s">
        <v>21</v>
      </c>
      <c r="D3" s="32" t="s">
        <v>33</v>
      </c>
      <c r="E3" s="41" t="s">
        <v>219</v>
      </c>
      <c r="F3" s="32" t="s">
        <v>34</v>
      </c>
      <c r="G3" s="32" t="s">
        <v>220</v>
      </c>
      <c r="H3" s="32" t="s">
        <v>221</v>
      </c>
      <c r="I3" s="32" t="s">
        <v>35</v>
      </c>
      <c r="J3" s="32" t="s">
        <v>36</v>
      </c>
      <c r="K3" s="27" t="s">
        <v>37</v>
      </c>
      <c r="L3" s="27" t="s">
        <v>38</v>
      </c>
      <c r="M3" s="32" t="s">
        <v>28</v>
      </c>
      <c r="N3" s="28" t="s">
        <v>29</v>
      </c>
      <c r="O3" s="32" t="s">
        <v>30</v>
      </c>
      <c r="P3" s="33">
        <v>46323</v>
      </c>
      <c r="Q3" s="33"/>
      <c r="R3" s="30" t="s">
        <v>31</v>
      </c>
      <c r="S3" s="30" t="s">
        <v>35</v>
      </c>
    </row>
    <row r="4" spans="1:19" ht="37" customHeight="1">
      <c r="A4" s="25" t="s">
        <v>39</v>
      </c>
      <c r="B4" s="26" t="s">
        <v>20</v>
      </c>
      <c r="C4" s="26" t="s">
        <v>21</v>
      </c>
      <c r="D4" s="26" t="s">
        <v>22</v>
      </c>
      <c r="E4" s="42" t="s">
        <v>222</v>
      </c>
      <c r="F4" s="26" t="s">
        <v>40</v>
      </c>
      <c r="G4" s="26" t="s">
        <v>223</v>
      </c>
      <c r="H4" s="26" t="s">
        <v>224</v>
      </c>
      <c r="I4" s="26" t="s">
        <v>41</v>
      </c>
      <c r="J4" s="26" t="s">
        <v>42</v>
      </c>
      <c r="K4" s="27" t="s">
        <v>43</v>
      </c>
      <c r="L4" s="27" t="s">
        <v>27</v>
      </c>
      <c r="M4" s="26" t="s">
        <v>28</v>
      </c>
      <c r="N4" s="28" t="s">
        <v>29</v>
      </c>
      <c r="O4" s="26" t="s">
        <v>30</v>
      </c>
      <c r="P4" s="29">
        <v>46323</v>
      </c>
      <c r="Q4" s="29"/>
      <c r="R4" s="30" t="s">
        <v>31</v>
      </c>
      <c r="S4" s="30" t="s">
        <v>41</v>
      </c>
    </row>
    <row r="5" spans="1:19" ht="37" customHeight="1">
      <c r="A5" s="31" t="s">
        <v>44</v>
      </c>
      <c r="B5" s="32" t="s">
        <v>20</v>
      </c>
      <c r="C5" s="32" t="s">
        <v>21</v>
      </c>
      <c r="D5" s="32" t="s">
        <v>45</v>
      </c>
      <c r="E5" s="41" t="s">
        <v>225</v>
      </c>
      <c r="F5" s="32" t="s">
        <v>46</v>
      </c>
      <c r="G5" s="32" t="s">
        <v>226</v>
      </c>
      <c r="H5" s="32" t="s">
        <v>227</v>
      </c>
      <c r="I5" s="32" t="s">
        <v>47</v>
      </c>
      <c r="J5" s="32" t="s">
        <v>48</v>
      </c>
      <c r="K5" s="27" t="s">
        <v>49</v>
      </c>
      <c r="L5" s="27" t="s">
        <v>50</v>
      </c>
      <c r="M5" s="32" t="s">
        <v>28</v>
      </c>
      <c r="N5" s="28" t="s">
        <v>29</v>
      </c>
      <c r="O5" s="32" t="s">
        <v>30</v>
      </c>
      <c r="P5" s="33">
        <v>46323</v>
      </c>
      <c r="Q5" s="33"/>
      <c r="R5" s="30" t="s">
        <v>31</v>
      </c>
      <c r="S5" s="30" t="s">
        <v>47</v>
      </c>
    </row>
    <row r="6" spans="1:19" ht="37" customHeight="1">
      <c r="A6" s="25" t="s">
        <v>51</v>
      </c>
      <c r="B6" s="26" t="s">
        <v>52</v>
      </c>
      <c r="C6" s="26" t="s">
        <v>21</v>
      </c>
      <c r="D6" s="26" t="s">
        <v>33</v>
      </c>
      <c r="E6" s="42" t="s">
        <v>228</v>
      </c>
      <c r="F6" s="26" t="s">
        <v>34</v>
      </c>
      <c r="G6" s="26" t="s">
        <v>229</v>
      </c>
      <c r="H6" s="26" t="s">
        <v>230</v>
      </c>
      <c r="I6" s="26" t="s">
        <v>53</v>
      </c>
      <c r="J6" s="26" t="s">
        <v>54</v>
      </c>
      <c r="K6" s="27" t="s">
        <v>55</v>
      </c>
      <c r="L6" s="27" t="s">
        <v>56</v>
      </c>
      <c r="M6" s="26" t="s">
        <v>28</v>
      </c>
      <c r="N6" s="28" t="s">
        <v>29</v>
      </c>
      <c r="O6" s="26" t="s">
        <v>30</v>
      </c>
      <c r="P6" s="29">
        <v>46323</v>
      </c>
      <c r="Q6" s="29"/>
      <c r="R6" s="30" t="s">
        <v>31</v>
      </c>
      <c r="S6" s="30" t="s">
        <v>53</v>
      </c>
    </row>
    <row r="7" spans="1:19" ht="37" customHeight="1">
      <c r="A7" s="31" t="s">
        <v>57</v>
      </c>
      <c r="B7" s="32" t="s">
        <v>58</v>
      </c>
      <c r="C7" s="32" t="s">
        <v>21</v>
      </c>
      <c r="D7" s="32" t="s">
        <v>22</v>
      </c>
      <c r="E7" s="43" t="s">
        <v>231</v>
      </c>
      <c r="F7" s="32" t="s">
        <v>59</v>
      </c>
      <c r="G7" s="32"/>
      <c r="H7" s="32" t="s">
        <v>232</v>
      </c>
      <c r="I7" s="32" t="s">
        <v>60</v>
      </c>
      <c r="J7" s="32" t="s">
        <v>61</v>
      </c>
      <c r="K7" s="27" t="s">
        <v>62</v>
      </c>
      <c r="L7" s="27" t="s">
        <v>63</v>
      </c>
      <c r="M7" s="32" t="s">
        <v>28</v>
      </c>
      <c r="N7" s="28" t="s">
        <v>29</v>
      </c>
      <c r="O7" s="32" t="s">
        <v>30</v>
      </c>
      <c r="P7" s="33">
        <v>46323</v>
      </c>
      <c r="Q7" s="33"/>
      <c r="R7" s="30" t="s">
        <v>31</v>
      </c>
      <c r="S7" s="30" t="s">
        <v>60</v>
      </c>
    </row>
    <row r="8" spans="1:19" ht="37" customHeight="1">
      <c r="A8" s="25" t="s">
        <v>64</v>
      </c>
      <c r="B8" s="26" t="s">
        <v>65</v>
      </c>
      <c r="C8" s="26" t="s">
        <v>21</v>
      </c>
      <c r="D8" s="26" t="s">
        <v>33</v>
      </c>
      <c r="E8" s="40" t="s">
        <v>233</v>
      </c>
      <c r="F8" s="26" t="s">
        <v>66</v>
      </c>
      <c r="G8" s="26" t="s">
        <v>234</v>
      </c>
      <c r="H8" s="26" t="s">
        <v>235</v>
      </c>
      <c r="I8" s="26" t="s">
        <v>67</v>
      </c>
      <c r="J8" s="26" t="s">
        <v>68</v>
      </c>
      <c r="K8" s="27" t="s">
        <v>69</v>
      </c>
      <c r="L8" s="27" t="s">
        <v>70</v>
      </c>
      <c r="M8" s="26" t="s">
        <v>28</v>
      </c>
      <c r="N8" s="28" t="s">
        <v>29</v>
      </c>
      <c r="O8" s="26" t="s">
        <v>30</v>
      </c>
      <c r="P8" s="29">
        <v>46323</v>
      </c>
      <c r="Q8" s="29"/>
      <c r="R8" s="30" t="s">
        <v>31</v>
      </c>
      <c r="S8" s="30" t="s">
        <v>67</v>
      </c>
    </row>
    <row r="9" spans="1:19" ht="37" customHeight="1">
      <c r="A9" s="31" t="s">
        <v>71</v>
      </c>
      <c r="B9" s="32" t="s">
        <v>65</v>
      </c>
      <c r="C9" s="32" t="s">
        <v>21</v>
      </c>
      <c r="D9" s="32" t="s">
        <v>33</v>
      </c>
      <c r="E9" s="41" t="s">
        <v>236</v>
      </c>
      <c r="F9" s="32" t="s">
        <v>72</v>
      </c>
      <c r="G9" s="32" t="s">
        <v>237</v>
      </c>
      <c r="H9" s="32" t="s">
        <v>238</v>
      </c>
      <c r="I9" s="32" t="s">
        <v>73</v>
      </c>
      <c r="J9" s="32" t="s">
        <v>74</v>
      </c>
      <c r="K9" s="27" t="s">
        <v>75</v>
      </c>
      <c r="L9" s="27" t="s">
        <v>27</v>
      </c>
      <c r="M9" s="32" t="s">
        <v>28</v>
      </c>
      <c r="N9" s="28" t="s">
        <v>29</v>
      </c>
      <c r="O9" s="32" t="s">
        <v>30</v>
      </c>
      <c r="P9" s="33">
        <v>46323</v>
      </c>
      <c r="Q9" s="33"/>
      <c r="R9" s="30" t="s">
        <v>31</v>
      </c>
      <c r="S9" s="30" t="s">
        <v>73</v>
      </c>
    </row>
    <row r="10" spans="1:19" ht="37" customHeight="1">
      <c r="A10" s="25" t="s">
        <v>76</v>
      </c>
      <c r="B10" s="26" t="s">
        <v>77</v>
      </c>
      <c r="C10" s="26" t="s">
        <v>21</v>
      </c>
      <c r="D10" s="26" t="s">
        <v>22</v>
      </c>
      <c r="E10" s="42" t="s">
        <v>239</v>
      </c>
      <c r="F10" s="26" t="s">
        <v>34</v>
      </c>
      <c r="G10" s="26" t="s">
        <v>240</v>
      </c>
      <c r="H10" s="26" t="s">
        <v>241</v>
      </c>
      <c r="I10" s="26" t="s">
        <v>78</v>
      </c>
      <c r="J10" s="26" t="s">
        <v>79</v>
      </c>
      <c r="K10" s="27" t="s">
        <v>80</v>
      </c>
      <c r="L10" s="27" t="s">
        <v>81</v>
      </c>
      <c r="M10" s="26" t="s">
        <v>28</v>
      </c>
      <c r="N10" s="28" t="s">
        <v>29</v>
      </c>
      <c r="O10" s="26" t="s">
        <v>30</v>
      </c>
      <c r="P10" s="29">
        <v>46323</v>
      </c>
      <c r="Q10" s="29"/>
      <c r="R10" s="30" t="s">
        <v>31</v>
      </c>
      <c r="S10" s="30" t="s">
        <v>78</v>
      </c>
    </row>
    <row r="11" spans="1:19" ht="37" customHeight="1">
      <c r="A11" s="31" t="s">
        <v>82</v>
      </c>
      <c r="B11" s="32" t="s">
        <v>58</v>
      </c>
      <c r="C11" s="32" t="s">
        <v>21</v>
      </c>
      <c r="D11" s="32" t="s">
        <v>22</v>
      </c>
      <c r="E11" s="41" t="s">
        <v>242</v>
      </c>
      <c r="F11" s="32" t="s">
        <v>40</v>
      </c>
      <c r="G11" s="32" t="s">
        <v>243</v>
      </c>
      <c r="H11" s="32" t="s">
        <v>244</v>
      </c>
      <c r="I11" s="32" t="s">
        <v>83</v>
      </c>
      <c r="J11" s="32" t="s">
        <v>84</v>
      </c>
      <c r="K11" s="27" t="s">
        <v>85</v>
      </c>
      <c r="L11" s="27" t="s">
        <v>86</v>
      </c>
      <c r="M11" s="32" t="s">
        <v>28</v>
      </c>
      <c r="N11" s="28" t="s">
        <v>29</v>
      </c>
      <c r="O11" s="32" t="s">
        <v>30</v>
      </c>
      <c r="P11" s="33">
        <v>46323</v>
      </c>
      <c r="Q11" s="33"/>
      <c r="R11" s="30" t="s">
        <v>31</v>
      </c>
      <c r="S11" s="30" t="s">
        <v>83</v>
      </c>
    </row>
    <row r="12" spans="1:19" ht="37" customHeight="1">
      <c r="A12" s="25" t="s">
        <v>87</v>
      </c>
      <c r="B12" s="26" t="s">
        <v>65</v>
      </c>
      <c r="C12" s="26" t="s">
        <v>21</v>
      </c>
      <c r="D12" s="26" t="s">
        <v>33</v>
      </c>
      <c r="E12" s="42" t="s">
        <v>245</v>
      </c>
      <c r="F12" s="26" t="s">
        <v>59</v>
      </c>
      <c r="G12" s="26" t="s">
        <v>246</v>
      </c>
      <c r="H12" s="26" t="s">
        <v>247</v>
      </c>
      <c r="I12" s="26" t="s">
        <v>88</v>
      </c>
      <c r="J12" s="26" t="s">
        <v>89</v>
      </c>
      <c r="K12" s="27" t="s">
        <v>90</v>
      </c>
      <c r="L12" s="27" t="s">
        <v>63</v>
      </c>
      <c r="M12" s="26" t="s">
        <v>28</v>
      </c>
      <c r="N12" s="28" t="s">
        <v>29</v>
      </c>
      <c r="O12" s="26" t="s">
        <v>30</v>
      </c>
      <c r="P12" s="29">
        <v>46323</v>
      </c>
      <c r="Q12" s="29"/>
      <c r="R12" s="30" t="s">
        <v>31</v>
      </c>
      <c r="S12" s="30" t="s">
        <v>88</v>
      </c>
    </row>
    <row r="13" spans="1:19" ht="37" customHeight="1">
      <c r="A13" s="31" t="s">
        <v>91</v>
      </c>
      <c r="B13" s="32" t="s">
        <v>92</v>
      </c>
      <c r="C13" s="32" t="s">
        <v>21</v>
      </c>
      <c r="D13" s="32" t="s">
        <v>33</v>
      </c>
      <c r="E13" s="41" t="s">
        <v>248</v>
      </c>
      <c r="F13" s="32" t="s">
        <v>66</v>
      </c>
      <c r="G13" s="32" t="s">
        <v>250</v>
      </c>
      <c r="H13" s="32" t="s">
        <v>249</v>
      </c>
      <c r="I13" s="32" t="s">
        <v>93</v>
      </c>
      <c r="J13" s="32" t="s">
        <v>94</v>
      </c>
      <c r="K13" s="27" t="s">
        <v>95</v>
      </c>
      <c r="L13" s="27" t="s">
        <v>70</v>
      </c>
      <c r="M13" s="32" t="s">
        <v>28</v>
      </c>
      <c r="N13" s="28" t="s">
        <v>29</v>
      </c>
      <c r="O13" s="32" t="s">
        <v>30</v>
      </c>
      <c r="P13" s="33">
        <v>46323</v>
      </c>
      <c r="Q13" s="33"/>
      <c r="R13" s="30" t="s">
        <v>31</v>
      </c>
      <c r="S13" s="30" t="s">
        <v>93</v>
      </c>
    </row>
    <row r="14" spans="1:19" ht="37" customHeight="1">
      <c r="A14" s="25" t="s">
        <v>96</v>
      </c>
      <c r="B14" s="26" t="s">
        <v>97</v>
      </c>
      <c r="C14" s="26" t="s">
        <v>21</v>
      </c>
      <c r="D14" s="26" t="s">
        <v>22</v>
      </c>
      <c r="E14" s="44" t="s">
        <v>251</v>
      </c>
      <c r="F14" s="26" t="s">
        <v>46</v>
      </c>
      <c r="G14" s="26"/>
      <c r="H14" s="26" t="s">
        <v>252</v>
      </c>
      <c r="I14" s="26" t="s">
        <v>98</v>
      </c>
      <c r="J14" s="26" t="s">
        <v>99</v>
      </c>
      <c r="K14" s="27" t="s">
        <v>100</v>
      </c>
      <c r="L14" s="27" t="s">
        <v>27</v>
      </c>
      <c r="M14" s="26" t="s">
        <v>28</v>
      </c>
      <c r="N14" s="28" t="s">
        <v>29</v>
      </c>
      <c r="O14" s="26" t="s">
        <v>30</v>
      </c>
      <c r="P14" s="29">
        <v>46323</v>
      </c>
      <c r="Q14" s="29"/>
      <c r="R14" s="30" t="s">
        <v>31</v>
      </c>
      <c r="S14" s="30" t="s">
        <v>98</v>
      </c>
    </row>
    <row r="15" spans="1:19" ht="37" customHeight="1">
      <c r="A15" s="31" t="s">
        <v>101</v>
      </c>
      <c r="B15" s="32" t="s">
        <v>77</v>
      </c>
      <c r="C15" s="32" t="s">
        <v>21</v>
      </c>
      <c r="D15" s="32" t="s">
        <v>22</v>
      </c>
      <c r="E15" s="41" t="s">
        <v>253</v>
      </c>
      <c r="F15" s="32" t="s">
        <v>34</v>
      </c>
      <c r="G15" s="32" t="s">
        <v>254</v>
      </c>
      <c r="H15" s="32" t="s">
        <v>255</v>
      </c>
      <c r="I15" s="32" t="s">
        <v>102</v>
      </c>
      <c r="J15" s="32" t="s">
        <v>103</v>
      </c>
      <c r="K15" s="27" t="s">
        <v>104</v>
      </c>
      <c r="L15" s="27" t="s">
        <v>86</v>
      </c>
      <c r="M15" s="32" t="s">
        <v>28</v>
      </c>
      <c r="N15" s="28" t="s">
        <v>29</v>
      </c>
      <c r="O15" s="32" t="s">
        <v>30</v>
      </c>
      <c r="P15" s="33">
        <v>46323</v>
      </c>
      <c r="Q15" s="33"/>
      <c r="R15" s="30" t="s">
        <v>31</v>
      </c>
      <c r="S15" s="30" t="s">
        <v>102</v>
      </c>
    </row>
    <row r="16" spans="1:19" ht="37" customHeight="1">
      <c r="A16" s="25" t="s">
        <v>105</v>
      </c>
      <c r="B16" s="26" t="s">
        <v>106</v>
      </c>
      <c r="C16" s="26" t="s">
        <v>21</v>
      </c>
      <c r="D16" s="26" t="s">
        <v>33</v>
      </c>
      <c r="E16" s="42" t="s">
        <v>256</v>
      </c>
      <c r="F16" s="26" t="s">
        <v>46</v>
      </c>
      <c r="G16" s="26"/>
      <c r="H16" s="26" t="s">
        <v>257</v>
      </c>
      <c r="I16" s="26" t="s">
        <v>107</v>
      </c>
      <c r="J16" s="26" t="s">
        <v>108</v>
      </c>
      <c r="K16" s="27" t="s">
        <v>109</v>
      </c>
      <c r="L16" s="27" t="s">
        <v>27</v>
      </c>
      <c r="M16" s="26" t="s">
        <v>28</v>
      </c>
      <c r="N16" s="28" t="s">
        <v>29</v>
      </c>
      <c r="O16" s="26" t="s">
        <v>30</v>
      </c>
      <c r="P16" s="29">
        <v>46323</v>
      </c>
      <c r="Q16" s="29"/>
      <c r="R16" s="30" t="s">
        <v>31</v>
      </c>
      <c r="S16" s="30" t="s">
        <v>107</v>
      </c>
    </row>
    <row r="17" spans="1:19" ht="37" customHeight="1">
      <c r="A17" s="31" t="s">
        <v>110</v>
      </c>
      <c r="B17" s="32" t="s">
        <v>111</v>
      </c>
      <c r="C17" s="32" t="s">
        <v>21</v>
      </c>
      <c r="D17" s="32" t="s">
        <v>22</v>
      </c>
      <c r="E17" s="39" t="s">
        <v>258</v>
      </c>
      <c r="F17" s="32" t="s">
        <v>59</v>
      </c>
      <c r="G17" s="32"/>
      <c r="H17" s="32" t="s">
        <v>259</v>
      </c>
      <c r="I17" s="32" t="s">
        <v>112</v>
      </c>
      <c r="J17" s="32" t="s">
        <v>113</v>
      </c>
      <c r="K17" s="27" t="s">
        <v>114</v>
      </c>
      <c r="L17" s="27" t="s">
        <v>115</v>
      </c>
      <c r="M17" s="32" t="s">
        <v>28</v>
      </c>
      <c r="N17" s="28" t="s">
        <v>29</v>
      </c>
      <c r="O17" s="32" t="s">
        <v>30</v>
      </c>
      <c r="P17" s="33">
        <v>46323</v>
      </c>
      <c r="Q17" s="33"/>
      <c r="R17" s="30" t="s">
        <v>31</v>
      </c>
      <c r="S17" s="30" t="s">
        <v>112</v>
      </c>
    </row>
    <row r="18" spans="1:19" ht="37" customHeight="1">
      <c r="A18" s="25" t="s">
        <v>116</v>
      </c>
      <c r="B18" s="26" t="s">
        <v>117</v>
      </c>
      <c r="C18" s="26" t="s">
        <v>21</v>
      </c>
      <c r="D18" s="26" t="s">
        <v>33</v>
      </c>
      <c r="E18" s="45" t="s">
        <v>260</v>
      </c>
      <c r="F18" s="26" t="s">
        <v>34</v>
      </c>
      <c r="G18" s="26"/>
      <c r="H18" s="26" t="s">
        <v>261</v>
      </c>
      <c r="I18" s="26" t="s">
        <v>118</v>
      </c>
      <c r="J18" s="26" t="s">
        <v>119</v>
      </c>
      <c r="K18" s="27" t="s">
        <v>120</v>
      </c>
      <c r="L18" s="27" t="s">
        <v>50</v>
      </c>
      <c r="M18" s="26" t="s">
        <v>28</v>
      </c>
      <c r="N18" s="28" t="s">
        <v>29</v>
      </c>
      <c r="O18" s="26" t="s">
        <v>30</v>
      </c>
      <c r="P18" s="29">
        <v>46323</v>
      </c>
      <c r="Q18" s="29"/>
      <c r="R18" s="30" t="s">
        <v>31</v>
      </c>
      <c r="S18" s="30" t="s">
        <v>118</v>
      </c>
    </row>
    <row r="19" spans="1:19" ht="37" customHeight="1">
      <c r="A19" s="31" t="s">
        <v>121</v>
      </c>
      <c r="B19" s="32" t="s">
        <v>106</v>
      </c>
      <c r="C19" s="32" t="s">
        <v>122</v>
      </c>
      <c r="D19" s="32" t="s">
        <v>33</v>
      </c>
      <c r="E19" s="32"/>
      <c r="F19" s="32" t="s">
        <v>40</v>
      </c>
      <c r="G19" s="32"/>
      <c r="H19" s="32"/>
      <c r="I19" s="32" t="s">
        <v>123</v>
      </c>
      <c r="J19" s="32" t="s">
        <v>124</v>
      </c>
      <c r="K19" s="27" t="s">
        <v>125</v>
      </c>
      <c r="L19" s="27" t="s">
        <v>81</v>
      </c>
      <c r="M19" s="32" t="s">
        <v>28</v>
      </c>
      <c r="N19" s="28" t="s">
        <v>29</v>
      </c>
      <c r="O19" s="32" t="s">
        <v>30</v>
      </c>
      <c r="P19" s="33">
        <v>46323</v>
      </c>
      <c r="Q19" s="33"/>
      <c r="R19" s="30" t="s">
        <v>31</v>
      </c>
      <c r="S19" s="30" t="s">
        <v>123</v>
      </c>
    </row>
    <row r="20" spans="1:19" ht="37" customHeight="1">
      <c r="A20" s="25" t="s">
        <v>126</v>
      </c>
      <c r="B20" s="26" t="s">
        <v>127</v>
      </c>
      <c r="C20" s="26" t="s">
        <v>128</v>
      </c>
      <c r="D20" s="26" t="s">
        <v>22</v>
      </c>
      <c r="E20" s="26"/>
      <c r="F20" s="26" t="s">
        <v>23</v>
      </c>
      <c r="G20" s="26"/>
      <c r="H20" s="26"/>
      <c r="I20" s="26" t="s">
        <v>129</v>
      </c>
      <c r="J20" s="26" t="s">
        <v>130</v>
      </c>
      <c r="K20" s="27" t="s">
        <v>131</v>
      </c>
      <c r="L20" s="27" t="s">
        <v>27</v>
      </c>
      <c r="M20" s="26" t="s">
        <v>28</v>
      </c>
      <c r="N20" s="28" t="s">
        <v>29</v>
      </c>
      <c r="O20" s="26" t="s">
        <v>30</v>
      </c>
      <c r="P20" s="29">
        <v>46323</v>
      </c>
      <c r="Q20" s="29"/>
      <c r="R20" s="30" t="s">
        <v>31</v>
      </c>
      <c r="S20" s="30" t="s">
        <v>129</v>
      </c>
    </row>
    <row r="21" spans="1:19" ht="37" customHeight="1">
      <c r="A21" s="31" t="s">
        <v>132</v>
      </c>
      <c r="B21" s="32" t="s">
        <v>20</v>
      </c>
      <c r="C21" s="32" t="s">
        <v>128</v>
      </c>
      <c r="D21" s="32" t="s">
        <v>22</v>
      </c>
      <c r="E21" s="32"/>
      <c r="F21" s="32" t="s">
        <v>66</v>
      </c>
      <c r="G21" s="32"/>
      <c r="H21" s="32"/>
      <c r="I21" s="32" t="s">
        <v>133</v>
      </c>
      <c r="J21" s="32" t="s">
        <v>134</v>
      </c>
      <c r="K21" s="27" t="s">
        <v>62</v>
      </c>
      <c r="L21" s="27" t="s">
        <v>70</v>
      </c>
      <c r="M21" s="32" t="s">
        <v>28</v>
      </c>
      <c r="N21" s="28" t="s">
        <v>29</v>
      </c>
      <c r="O21" s="32" t="s">
        <v>30</v>
      </c>
      <c r="P21" s="33">
        <v>46323</v>
      </c>
      <c r="Q21" s="33"/>
      <c r="R21" s="30" t="s">
        <v>31</v>
      </c>
      <c r="S21" s="30" t="s">
        <v>133</v>
      </c>
    </row>
    <row r="22" spans="1:19" ht="37" customHeight="1">
      <c r="A22" s="25" t="s">
        <v>135</v>
      </c>
      <c r="B22" s="26" t="s">
        <v>20</v>
      </c>
      <c r="C22" s="26" t="s">
        <v>136</v>
      </c>
      <c r="D22" s="26" t="s">
        <v>33</v>
      </c>
      <c r="E22" s="26"/>
      <c r="F22" s="26" t="s">
        <v>40</v>
      </c>
      <c r="G22" s="26"/>
      <c r="H22" s="26"/>
      <c r="I22" s="26" t="s">
        <v>137</v>
      </c>
      <c r="J22" s="26" t="s">
        <v>138</v>
      </c>
      <c r="K22" s="27" t="s">
        <v>139</v>
      </c>
      <c r="L22" s="27" t="s">
        <v>27</v>
      </c>
      <c r="M22" s="26" t="s">
        <v>28</v>
      </c>
      <c r="N22" s="28" t="s">
        <v>29</v>
      </c>
      <c r="O22" s="26" t="s">
        <v>30</v>
      </c>
      <c r="P22" s="29">
        <v>46323</v>
      </c>
      <c r="Q22" s="29"/>
      <c r="R22" s="30" t="s">
        <v>31</v>
      </c>
      <c r="S22" s="30" t="s">
        <v>137</v>
      </c>
    </row>
    <row r="23" spans="1:19" ht="37" customHeight="1">
      <c r="A23" s="31" t="s">
        <v>140</v>
      </c>
      <c r="B23" s="32" t="s">
        <v>141</v>
      </c>
      <c r="C23" s="32" t="s">
        <v>136</v>
      </c>
      <c r="D23" s="32" t="s">
        <v>22</v>
      </c>
      <c r="E23" s="32"/>
      <c r="F23" s="32" t="s">
        <v>142</v>
      </c>
      <c r="G23" s="32"/>
      <c r="H23" s="32"/>
      <c r="I23" s="32" t="s">
        <v>143</v>
      </c>
      <c r="J23" s="32" t="s">
        <v>144</v>
      </c>
      <c r="K23" s="27" t="s">
        <v>145</v>
      </c>
      <c r="L23" s="27" t="s">
        <v>63</v>
      </c>
      <c r="M23" s="32" t="s">
        <v>28</v>
      </c>
      <c r="N23" s="28" t="s">
        <v>29</v>
      </c>
      <c r="O23" s="32" t="s">
        <v>30</v>
      </c>
      <c r="P23" s="33">
        <v>46323</v>
      </c>
      <c r="Q23" s="33"/>
      <c r="R23" s="30" t="s">
        <v>31</v>
      </c>
      <c r="S23" s="30" t="s">
        <v>143</v>
      </c>
    </row>
    <row r="24" spans="1:19" ht="37" customHeight="1">
      <c r="A24" s="25" t="s">
        <v>146</v>
      </c>
      <c r="B24" s="26" t="s">
        <v>147</v>
      </c>
      <c r="C24" s="26" t="s">
        <v>148</v>
      </c>
      <c r="D24" s="26" t="s">
        <v>149</v>
      </c>
      <c r="E24" s="26"/>
      <c r="F24" s="26" t="s">
        <v>66</v>
      </c>
      <c r="G24" s="26"/>
      <c r="H24" s="26"/>
      <c r="I24" s="26" t="s">
        <v>150</v>
      </c>
      <c r="J24" s="26" t="s">
        <v>151</v>
      </c>
      <c r="K24" s="27" t="s">
        <v>152</v>
      </c>
      <c r="L24" s="27" t="s">
        <v>153</v>
      </c>
      <c r="M24" s="26" t="s">
        <v>28</v>
      </c>
      <c r="N24" s="28" t="s">
        <v>29</v>
      </c>
      <c r="O24" s="26" t="s">
        <v>30</v>
      </c>
      <c r="P24" s="29">
        <v>46323</v>
      </c>
      <c r="Q24" s="29"/>
      <c r="R24" s="30" t="s">
        <v>31</v>
      </c>
      <c r="S24" s="30" t="s">
        <v>150</v>
      </c>
    </row>
    <row r="25" spans="1:19" ht="37" customHeight="1">
      <c r="A25" s="31" t="s">
        <v>154</v>
      </c>
      <c r="B25" s="32" t="s">
        <v>147</v>
      </c>
      <c r="C25" s="32" t="s">
        <v>155</v>
      </c>
      <c r="D25" s="32" t="s">
        <v>22</v>
      </c>
      <c r="E25" s="32"/>
      <c r="F25" s="32" t="s">
        <v>156</v>
      </c>
      <c r="G25" s="32"/>
      <c r="H25" s="32"/>
      <c r="I25" s="32" t="s">
        <v>157</v>
      </c>
      <c r="J25" s="32" t="s">
        <v>158</v>
      </c>
      <c r="K25" s="27" t="s">
        <v>159</v>
      </c>
      <c r="L25" s="27" t="s">
        <v>153</v>
      </c>
      <c r="M25" s="32" t="s">
        <v>28</v>
      </c>
      <c r="N25" s="28" t="s">
        <v>29</v>
      </c>
      <c r="O25" s="32" t="s">
        <v>30</v>
      </c>
      <c r="P25" s="33">
        <v>46323</v>
      </c>
      <c r="Q25" s="33"/>
      <c r="R25" s="30" t="s">
        <v>31</v>
      </c>
      <c r="S25" s="30" t="s">
        <v>157</v>
      </c>
    </row>
    <row r="26" spans="1:19" ht="37" customHeight="1">
      <c r="A26" s="25" t="s">
        <v>160</v>
      </c>
      <c r="B26" s="26" t="s">
        <v>147</v>
      </c>
      <c r="C26" s="26" t="s">
        <v>148</v>
      </c>
      <c r="D26" s="26" t="s">
        <v>149</v>
      </c>
      <c r="E26" s="26"/>
      <c r="F26" s="26" t="s">
        <v>34</v>
      </c>
      <c r="G26" s="26"/>
      <c r="H26" s="26"/>
      <c r="I26" s="26" t="s">
        <v>161</v>
      </c>
      <c r="J26" s="26" t="s">
        <v>162</v>
      </c>
      <c r="K26" s="27" t="s">
        <v>163</v>
      </c>
      <c r="L26" s="27" t="s">
        <v>153</v>
      </c>
      <c r="M26" s="26" t="s">
        <v>28</v>
      </c>
      <c r="N26" s="28" t="s">
        <v>29</v>
      </c>
      <c r="O26" s="26" t="s">
        <v>30</v>
      </c>
      <c r="P26" s="29">
        <v>46323</v>
      </c>
      <c r="Q26" s="29"/>
      <c r="R26" s="30" t="s">
        <v>31</v>
      </c>
      <c r="S26" s="30" t="s">
        <v>161</v>
      </c>
    </row>
    <row r="27" spans="1:19" ht="37" customHeight="1">
      <c r="A27" s="31" t="s">
        <v>164</v>
      </c>
      <c r="B27" s="32" t="s">
        <v>147</v>
      </c>
      <c r="C27" s="32" t="s">
        <v>148</v>
      </c>
      <c r="D27" s="32" t="s">
        <v>22</v>
      </c>
      <c r="E27" s="32"/>
      <c r="F27" s="32" t="s">
        <v>40</v>
      </c>
      <c r="G27" s="32"/>
      <c r="H27" s="32"/>
      <c r="I27" s="32" t="s">
        <v>165</v>
      </c>
      <c r="J27" s="32" t="s">
        <v>166</v>
      </c>
      <c r="K27" s="27" t="s">
        <v>167</v>
      </c>
      <c r="L27" s="27" t="s">
        <v>153</v>
      </c>
      <c r="M27" s="32" t="s">
        <v>28</v>
      </c>
      <c r="N27" s="28" t="s">
        <v>29</v>
      </c>
      <c r="O27" s="32" t="s">
        <v>30</v>
      </c>
      <c r="P27" s="33">
        <v>46323</v>
      </c>
      <c r="Q27" s="33"/>
      <c r="R27" s="30" t="s">
        <v>31</v>
      </c>
      <c r="S27" s="30" t="s">
        <v>165</v>
      </c>
    </row>
    <row r="28" spans="1:19" ht="37" customHeight="1">
      <c r="A28" s="25" t="s">
        <v>168</v>
      </c>
      <c r="B28" s="26" t="s">
        <v>147</v>
      </c>
      <c r="C28" s="26" t="s">
        <v>148</v>
      </c>
      <c r="D28" s="26" t="s">
        <v>22</v>
      </c>
      <c r="E28" s="26"/>
      <c r="F28" s="26" t="s">
        <v>169</v>
      </c>
      <c r="G28" s="26"/>
      <c r="H28" s="26"/>
      <c r="I28" s="26" t="s">
        <v>170</v>
      </c>
      <c r="J28" s="26" t="s">
        <v>171</v>
      </c>
      <c r="K28" s="27" t="s">
        <v>172</v>
      </c>
      <c r="L28" s="27" t="s">
        <v>153</v>
      </c>
      <c r="M28" s="26" t="s">
        <v>28</v>
      </c>
      <c r="N28" s="28" t="s">
        <v>29</v>
      </c>
      <c r="O28" s="26" t="s">
        <v>30</v>
      </c>
      <c r="P28" s="29">
        <v>46323</v>
      </c>
      <c r="Q28" s="29"/>
      <c r="R28" s="30" t="s">
        <v>31</v>
      </c>
      <c r="S28" s="30" t="s">
        <v>170</v>
      </c>
    </row>
    <row r="29" spans="1:19" ht="37" customHeight="1">
      <c r="A29" s="31" t="s">
        <v>173</v>
      </c>
      <c r="B29" s="32" t="s">
        <v>147</v>
      </c>
      <c r="C29" s="32" t="s">
        <v>148</v>
      </c>
      <c r="D29" s="32" t="s">
        <v>22</v>
      </c>
      <c r="E29" s="32"/>
      <c r="F29" s="32" t="s">
        <v>59</v>
      </c>
      <c r="G29" s="32"/>
      <c r="H29" s="32"/>
      <c r="I29" s="32" t="s">
        <v>174</v>
      </c>
      <c r="J29" s="32" t="s">
        <v>175</v>
      </c>
      <c r="K29" s="27" t="s">
        <v>176</v>
      </c>
      <c r="L29" s="27" t="s">
        <v>153</v>
      </c>
      <c r="M29" s="32" t="s">
        <v>28</v>
      </c>
      <c r="N29" s="28" t="s">
        <v>29</v>
      </c>
      <c r="O29" s="32" t="s">
        <v>30</v>
      </c>
      <c r="P29" s="33">
        <v>46323</v>
      </c>
      <c r="Q29" s="33"/>
      <c r="R29" s="30" t="s">
        <v>31</v>
      </c>
      <c r="S29" s="30" t="s">
        <v>174</v>
      </c>
    </row>
    <row r="30" spans="1:19" ht="37" customHeight="1">
      <c r="A30" s="25" t="s">
        <v>177</v>
      </c>
      <c r="B30" s="26" t="s">
        <v>147</v>
      </c>
      <c r="C30" s="26" t="s">
        <v>178</v>
      </c>
      <c r="D30" s="26" t="s">
        <v>22</v>
      </c>
      <c r="E30" s="26"/>
      <c r="F30" s="26" t="s">
        <v>66</v>
      </c>
      <c r="G30" s="26"/>
      <c r="H30" s="26"/>
      <c r="I30" s="26" t="s">
        <v>179</v>
      </c>
      <c r="J30" s="26" t="s">
        <v>180</v>
      </c>
      <c r="K30" s="27" t="s">
        <v>181</v>
      </c>
      <c r="L30" s="27" t="s">
        <v>153</v>
      </c>
      <c r="M30" s="26" t="s">
        <v>28</v>
      </c>
      <c r="N30" s="28" t="s">
        <v>29</v>
      </c>
      <c r="O30" s="26" t="s">
        <v>30</v>
      </c>
      <c r="P30" s="29">
        <v>46323</v>
      </c>
      <c r="Q30" s="29"/>
      <c r="R30" s="30" t="s">
        <v>31</v>
      </c>
      <c r="S30" s="30" t="s">
        <v>179</v>
      </c>
    </row>
    <row r="31" spans="1:19" ht="37" customHeight="1">
      <c r="A31" s="31" t="s">
        <v>182</v>
      </c>
      <c r="B31" s="32" t="s">
        <v>183</v>
      </c>
      <c r="C31" s="32" t="s">
        <v>184</v>
      </c>
      <c r="D31" s="32" t="s">
        <v>185</v>
      </c>
      <c r="E31" s="32"/>
      <c r="F31" s="32" t="s">
        <v>186</v>
      </c>
      <c r="G31" s="32"/>
      <c r="H31" s="32"/>
      <c r="I31" s="32" t="s">
        <v>187</v>
      </c>
      <c r="J31" s="32" t="s">
        <v>188</v>
      </c>
      <c r="K31" s="27" t="s">
        <v>189</v>
      </c>
      <c r="L31" s="27" t="s">
        <v>190</v>
      </c>
      <c r="M31" s="32" t="s">
        <v>28</v>
      </c>
      <c r="N31" s="28" t="s">
        <v>29</v>
      </c>
      <c r="O31" s="32" t="s">
        <v>30</v>
      </c>
      <c r="P31" s="33">
        <v>46323</v>
      </c>
      <c r="Q31" s="33"/>
      <c r="R31" s="30" t="s">
        <v>31</v>
      </c>
      <c r="S31" s="30" t="s">
        <v>187</v>
      </c>
    </row>
    <row r="34" spans="6:6">
      <c r="F34" s="24" t="s">
        <v>213</v>
      </c>
    </row>
    <row r="35" spans="6:6">
      <c r="F35" s="38" t="s">
        <v>34</v>
      </c>
    </row>
    <row r="36" spans="6:6">
      <c r="F36" s="38" t="s">
        <v>23</v>
      </c>
    </row>
    <row r="37" spans="6:6">
      <c r="F37" s="38" t="s">
        <v>214</v>
      </c>
    </row>
    <row r="38" spans="6:6">
      <c r="F38" s="38" t="s">
        <v>186</v>
      </c>
    </row>
    <row r="39" spans="6:6">
      <c r="F39" s="38" t="s">
        <v>46</v>
      </c>
    </row>
    <row r="40" spans="6:6">
      <c r="F40" s="38" t="s">
        <v>215</v>
      </c>
    </row>
  </sheetData>
  <conditionalFormatting sqref="N2:N300">
    <cfRule type="expression" dxfId="2" priority="1">
      <formula>$N2="Qualified"</formula>
    </cfRule>
    <cfRule type="expression" dxfId="1" priority="2">
      <formula>$N2="Follow-up Due"</formula>
    </cfRule>
  </conditionalFormatting>
  <conditionalFormatting sqref="Q2:Q300">
    <cfRule type="expression" dxfId="0" priority="3">
      <formula>AND(ISNUMBER($Q2),$Q2&lt;TODAY(),$N2&lt;&gt;"Closed")</formula>
    </cfRule>
  </conditionalFormatting>
  <dataValidations count="2">
    <dataValidation type="list" sqref="N2:N300" xr:uid="{00000000-0002-0000-0000-000000000000}">
      <formula1>"Not Contacted,Researching,Contacted,Follow-up Due,Qualified,Meeting Scheduled,Opportunity Open,Not a Fit,Closed"</formula1>
    </dataValidation>
    <dataValidation type="list" sqref="L2:L300" xr:uid="{00000000-0002-0000-0000-000001000000}">
      <formula1>"Clinical trial kitting,Kitting + sample logistics,Kitting + logistics,Kitting + biorepository,Biorepository,Sample management,Sample logistics,Trial equipment,Trial supplies,Kitting + logistics,CRO partnership,Laboratory partnership"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opLeftCell="A23" workbookViewId="0">
      <selection activeCell="I37" sqref="I37"/>
    </sheetView>
  </sheetViews>
  <sheetFormatPr baseColWidth="10" defaultColWidth="8.83203125" defaultRowHeight="14"/>
  <cols>
    <col min="1" max="1" width="27.83203125" bestFit="1" customWidth="1"/>
    <col min="2" max="2" width="39.1640625" bestFit="1" customWidth="1"/>
    <col min="3" max="3" width="25.1640625" bestFit="1" customWidth="1"/>
    <col min="4" max="4" width="33.33203125" bestFit="1" customWidth="1"/>
    <col min="5" max="5" width="17.6640625" bestFit="1" customWidth="1"/>
    <col min="6" max="6" width="40.1640625" bestFit="1" customWidth="1"/>
    <col min="7" max="7" width="16.5" bestFit="1" customWidth="1"/>
    <col min="8" max="8" width="9.83203125" bestFit="1" customWidth="1"/>
    <col min="9" max="9" width="19" bestFit="1" customWidth="1"/>
    <col min="10" max="10" width="3.1640625" bestFit="1" customWidth="1"/>
    <col min="11" max="11" width="5.1640625" bestFit="1" customWidth="1"/>
    <col min="12" max="12" width="6.33203125" bestFit="1" customWidth="1"/>
    <col min="13" max="13" width="4.83203125" bestFit="1" customWidth="1"/>
    <col min="15" max="15" width="2.1640625" bestFit="1" customWidth="1"/>
    <col min="17" max="17" width="3.1640625" bestFit="1" customWidth="1"/>
    <col min="19" max="19" width="2.1640625" bestFit="1" customWidth="1"/>
  </cols>
  <sheetData>
    <row r="1" spans="1:8" ht="57.25" customHeight="1">
      <c r="A1" s="14" t="s">
        <v>191</v>
      </c>
      <c r="B1" s="14"/>
      <c r="C1" s="14"/>
      <c r="D1" s="14"/>
      <c r="E1" s="14"/>
      <c r="F1" s="14"/>
      <c r="G1" s="14"/>
      <c r="H1" s="14"/>
    </row>
    <row r="2" spans="1:8" ht="36" customHeight="1">
      <c r="A2" s="15"/>
      <c r="B2" s="15"/>
      <c r="C2" s="15"/>
      <c r="D2" s="15"/>
      <c r="E2" s="15"/>
      <c r="F2" s="15"/>
      <c r="G2" s="15"/>
      <c r="H2" s="15"/>
    </row>
    <row r="3" spans="1:8" ht="36" customHeight="1">
      <c r="A3" s="2"/>
      <c r="B3" s="2"/>
      <c r="C3" s="2"/>
      <c r="D3" s="2"/>
      <c r="E3" s="2"/>
      <c r="F3" s="2"/>
      <c r="G3" s="2"/>
      <c r="H3" s="2"/>
    </row>
    <row r="4" spans="1:8" ht="36" customHeight="1">
      <c r="A4" s="16" t="s">
        <v>192</v>
      </c>
      <c r="B4" s="16"/>
      <c r="C4" s="16"/>
      <c r="D4" s="16"/>
      <c r="E4" s="17">
        <f>COUNTA('Prospect Pipeline'!A2:A300)</f>
        <v>30</v>
      </c>
      <c r="F4" s="18"/>
      <c r="G4" s="2"/>
      <c r="H4" s="2"/>
    </row>
    <row r="5" spans="1:8" ht="36" customHeight="1">
      <c r="A5" s="2"/>
      <c r="B5" s="2"/>
      <c r="C5" s="2"/>
      <c r="D5" s="2"/>
      <c r="E5" s="9"/>
      <c r="F5" s="2"/>
      <c r="G5" s="2"/>
      <c r="H5" s="2"/>
    </row>
    <row r="6" spans="1:8" ht="36" customHeight="1">
      <c r="A6" s="19" t="s">
        <v>29</v>
      </c>
      <c r="B6" s="19"/>
      <c r="C6" s="19"/>
      <c r="D6" s="19"/>
      <c r="E6" s="20">
        <f>COUNTIF('Prospect Pipeline'!N2:N300,"Not Contacted")</f>
        <v>30</v>
      </c>
      <c r="F6" s="21"/>
      <c r="G6" s="2"/>
      <c r="H6" s="2"/>
    </row>
    <row r="7" spans="1:8" ht="36" customHeight="1">
      <c r="A7" s="4"/>
      <c r="B7" s="4"/>
      <c r="C7" s="4"/>
      <c r="D7" s="4"/>
      <c r="E7" s="10"/>
      <c r="F7" s="5"/>
      <c r="G7" s="2"/>
      <c r="H7" s="2"/>
    </row>
    <row r="8" spans="1:8" ht="36" customHeight="1">
      <c r="A8" s="19" t="s">
        <v>193</v>
      </c>
      <c r="B8" s="19"/>
      <c r="C8" s="19"/>
      <c r="D8" s="19"/>
      <c r="E8" s="20">
        <v>28</v>
      </c>
      <c r="F8" s="21"/>
      <c r="G8" s="2"/>
      <c r="H8" s="2"/>
    </row>
    <row r="9" spans="1:8" ht="36" customHeight="1">
      <c r="A9" s="2"/>
      <c r="B9" s="2"/>
      <c r="C9" s="2"/>
      <c r="D9" s="2"/>
      <c r="E9" s="9"/>
      <c r="F9" s="2"/>
      <c r="G9" s="2"/>
      <c r="H9" s="2"/>
    </row>
    <row r="10" spans="1:8" ht="36" customHeight="1">
      <c r="A10" s="16" t="s">
        <v>194</v>
      </c>
      <c r="B10" s="16"/>
      <c r="C10" s="16"/>
      <c r="D10" s="16"/>
      <c r="E10" s="17">
        <v>25</v>
      </c>
      <c r="F10" s="18"/>
      <c r="G10" s="2"/>
      <c r="H10" s="2"/>
    </row>
    <row r="11" spans="1:8" ht="36" customHeight="1">
      <c r="A11" s="2"/>
      <c r="B11" s="2"/>
      <c r="C11" s="2"/>
      <c r="D11" s="2"/>
      <c r="E11" s="9"/>
      <c r="F11" s="2"/>
      <c r="G11" s="2"/>
      <c r="H11" s="2"/>
    </row>
    <row r="12" spans="1:8" ht="36" customHeight="1">
      <c r="A12" s="19" t="s">
        <v>195</v>
      </c>
      <c r="B12" s="19"/>
      <c r="C12" s="19"/>
      <c r="D12" s="19"/>
      <c r="E12" s="20">
        <v>23</v>
      </c>
      <c r="F12" s="21"/>
      <c r="G12" s="2"/>
      <c r="H12" s="2"/>
    </row>
    <row r="13" spans="1:8" ht="36" customHeight="1">
      <c r="A13" s="4"/>
      <c r="B13" s="4"/>
      <c r="C13" s="4"/>
      <c r="D13" s="4"/>
      <c r="E13" s="10"/>
      <c r="F13" s="5"/>
      <c r="G13" s="2"/>
      <c r="H13" s="2"/>
    </row>
    <row r="14" spans="1:8" ht="36" customHeight="1">
      <c r="A14" s="19" t="s">
        <v>196</v>
      </c>
      <c r="B14" s="19"/>
      <c r="C14" s="19"/>
      <c r="D14" s="19"/>
      <c r="E14" s="20">
        <v>9</v>
      </c>
      <c r="F14" s="21"/>
      <c r="G14" s="2"/>
      <c r="H14" s="2"/>
    </row>
    <row r="15" spans="1:8" ht="36" customHeight="1">
      <c r="A15" s="2"/>
      <c r="B15" s="2"/>
      <c r="C15" s="2"/>
      <c r="D15" s="2"/>
      <c r="E15" s="9"/>
      <c r="F15" s="2"/>
      <c r="G15" s="2"/>
      <c r="H15" s="2"/>
    </row>
    <row r="16" spans="1:8" ht="36" customHeight="1">
      <c r="A16" s="8"/>
      <c r="B16" s="8"/>
      <c r="C16" s="8"/>
      <c r="D16" s="8"/>
      <c r="E16" s="11"/>
      <c r="F16" s="7"/>
      <c r="G16" s="8"/>
      <c r="H16" s="8"/>
    </row>
    <row r="17" spans="1:8" ht="36" customHeight="1">
      <c r="A17" s="3" t="s">
        <v>197</v>
      </c>
      <c r="B17" s="2"/>
      <c r="C17" s="2"/>
      <c r="D17" s="2"/>
      <c r="E17" s="9"/>
      <c r="F17" s="2"/>
      <c r="G17" s="2"/>
      <c r="H17" s="2"/>
    </row>
    <row r="18" spans="1:8" ht="36" customHeight="1">
      <c r="A18" s="6" t="s">
        <v>198</v>
      </c>
      <c r="B18" s="6" t="s">
        <v>199</v>
      </c>
      <c r="C18" s="2"/>
      <c r="D18" s="2"/>
      <c r="E18" s="9"/>
      <c r="F18" s="2"/>
      <c r="G18" s="2"/>
      <c r="H18" s="2"/>
    </row>
    <row r="19" spans="1:8" ht="36" customHeight="1">
      <c r="A19" s="4" t="s">
        <v>200</v>
      </c>
      <c r="B19" s="4">
        <f>COUNTIF('Prospect Pipeline'!B2:B31,"*Pharma*")</f>
        <v>11</v>
      </c>
      <c r="C19" s="4"/>
      <c r="D19" s="4"/>
      <c r="E19" s="10"/>
      <c r="F19" s="5"/>
      <c r="G19" s="2"/>
      <c r="H19" s="2"/>
    </row>
    <row r="20" spans="1:8" ht="36" customHeight="1">
      <c r="A20" s="2" t="s">
        <v>201</v>
      </c>
      <c r="B20" s="2">
        <f>COUNTIF('Prospect Pipeline'!B2:B31,"*Bio*")</f>
        <v>14</v>
      </c>
      <c r="C20" s="2"/>
      <c r="D20" s="2"/>
      <c r="E20" s="9"/>
      <c r="F20" s="2"/>
      <c r="G20" s="2"/>
      <c r="H20" s="2"/>
    </row>
    <row r="21" spans="1:8" ht="36" customHeight="1">
      <c r="A21" s="2" t="s">
        <v>202</v>
      </c>
      <c r="B21" s="2">
        <f>COUNTIF('Prospect Pipeline'!B2:B31,"*Contract Research*")</f>
        <v>7</v>
      </c>
      <c r="C21" s="2"/>
      <c r="D21" s="2"/>
      <c r="E21" s="9"/>
      <c r="F21" s="2"/>
      <c r="G21" s="2"/>
      <c r="H21" s="2"/>
    </row>
    <row r="22" spans="1:8" ht="36" customHeight="1">
      <c r="A22" s="2" t="s">
        <v>203</v>
      </c>
      <c r="B22" s="2">
        <f>COUNTA('Prospect Pipeline'!A2:A31)-SUM(B19:B21)</f>
        <v>-2</v>
      </c>
      <c r="C22" s="2"/>
      <c r="D22" s="2"/>
      <c r="E22" s="9"/>
      <c r="F22" s="2"/>
      <c r="G22" s="2"/>
      <c r="H22" s="2"/>
    </row>
    <row r="23" spans="1:8" ht="36" customHeight="1">
      <c r="A23" s="2"/>
      <c r="B23" s="2"/>
      <c r="C23" s="2"/>
      <c r="D23" s="2"/>
      <c r="E23" s="2"/>
      <c r="F23" s="2"/>
      <c r="G23" s="2"/>
      <c r="H23" s="2"/>
    </row>
    <row r="24" spans="1:8" ht="36" customHeight="1">
      <c r="A24" s="2"/>
      <c r="B24" s="2"/>
      <c r="C24" s="2"/>
      <c r="D24" s="2"/>
      <c r="E24" s="2"/>
      <c r="F24" s="2"/>
      <c r="G24" s="2"/>
      <c r="H24" s="2"/>
    </row>
    <row r="25" spans="1:8" ht="36" customHeight="1">
      <c r="A25" s="2"/>
      <c r="B25" s="2"/>
      <c r="C25" s="2"/>
      <c r="D25" s="2"/>
      <c r="E25" s="2"/>
      <c r="F25" s="2"/>
      <c r="G25" s="2"/>
      <c r="H25" s="2"/>
    </row>
  </sheetData>
  <mergeCells count="13">
    <mergeCell ref="A14:D14"/>
    <mergeCell ref="E14:F14"/>
    <mergeCell ref="A8:D8"/>
    <mergeCell ref="E8:F8"/>
    <mergeCell ref="A10:D10"/>
    <mergeCell ref="E10:F10"/>
    <mergeCell ref="A12:D12"/>
    <mergeCell ref="E12:F12"/>
    <mergeCell ref="A1:H2"/>
    <mergeCell ref="A4:D4"/>
    <mergeCell ref="E4:F4"/>
    <mergeCell ref="A6:D6"/>
    <mergeCell ref="E6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A14" sqref="A14"/>
    </sheetView>
  </sheetViews>
  <sheetFormatPr baseColWidth="10" defaultColWidth="8.83203125" defaultRowHeight="14"/>
  <cols>
    <col min="1" max="1" width="115" customWidth="1"/>
  </cols>
  <sheetData>
    <row r="1" spans="1:6" ht="66.75" customHeight="1">
      <c r="A1" s="13" t="s">
        <v>204</v>
      </c>
      <c r="B1" s="1"/>
      <c r="C1" s="1"/>
      <c r="D1" s="1"/>
      <c r="E1" s="1"/>
      <c r="F1" s="1"/>
    </row>
    <row r="2" spans="1:6" ht="50.75" customHeight="1">
      <c r="A2" s="12"/>
    </row>
    <row r="3" spans="1:6" ht="50.75" customHeight="1">
      <c r="A3" s="35" t="s">
        <v>205</v>
      </c>
    </row>
    <row r="4" spans="1:6" ht="50.75" customHeight="1">
      <c r="A4" s="36" t="s">
        <v>206</v>
      </c>
    </row>
    <row r="5" spans="1:6" ht="50.75" customHeight="1">
      <c r="A5" s="37" t="s">
        <v>207</v>
      </c>
    </row>
    <row r="6" spans="1:6" ht="50.75" customHeight="1">
      <c r="A6" s="36" t="s">
        <v>208</v>
      </c>
    </row>
    <row r="7" spans="1:6" ht="50.75" customHeight="1">
      <c r="A7" s="37" t="s">
        <v>209</v>
      </c>
    </row>
    <row r="8" spans="1:6" ht="50.75" customHeight="1">
      <c r="A8" s="36" t="s">
        <v>210</v>
      </c>
    </row>
    <row r="9" spans="1:6" ht="50.75" customHeight="1">
      <c r="A9" s="37" t="s">
        <v>211</v>
      </c>
    </row>
    <row r="10" spans="1:6" ht="50.75" customHeight="1">
      <c r="A10" s="36" t="s">
        <v>212</v>
      </c>
    </row>
    <row r="11" spans="1:6" ht="11" customHeight="1">
      <c r="A11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Prospect Pipeline</vt:lpstr>
      <vt:lpstr>Dashboard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RATHI Anchal</cp:lastModifiedBy>
  <dcterms:created xsi:type="dcterms:W3CDTF">2026-10-28T15:37:55Z</dcterms:created>
  <dcterms:modified xsi:type="dcterms:W3CDTF">2026-10-28T16:24:07Z</dcterms:modified>
</cp:coreProperties>
</file>